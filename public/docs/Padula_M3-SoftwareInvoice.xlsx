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\Downloads\"/>
    </mc:Choice>
  </mc:AlternateContent>
  <xr:revisionPtr revIDLastSave="0" documentId="13_ncr:1_{1513619F-82B9-4E7F-BDE7-96C5E2C373BB}" xr6:coauthVersionLast="47" xr6:coauthVersionMax="47" xr10:uidLastSave="{00000000-0000-0000-0000-000000000000}"/>
  <bookViews>
    <workbookView xWindow="-108" yWindow="-108" windowWidth="30936" windowHeight="16776" xr2:uid="{9C03E5E2-9E7B-445B-A295-ABF3F7E236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  <c r="B11" i="1"/>
</calcChain>
</file>

<file path=xl/sharedStrings.xml><?xml version="1.0" encoding="utf-8"?>
<sst xmlns="http://schemas.openxmlformats.org/spreadsheetml/2006/main" count="47" uniqueCount="42">
  <si>
    <t>Unit Price</t>
  </si>
  <si>
    <t>Extended Price</t>
  </si>
  <si>
    <t>Square</t>
  </si>
  <si>
    <t>Prepared by James Padula</t>
  </si>
  <si>
    <t>Rideline Power Bikes Software Invoice</t>
  </si>
  <si>
    <t>CTS-289    Date: 2/23/2026</t>
  </si>
  <si>
    <t>Software Name</t>
  </si>
  <si>
    <t>Licensing Type</t>
  </si>
  <si>
    <t>Number of Licenses / Users</t>
  </si>
  <si>
    <t>Square For Retail</t>
  </si>
  <si>
    <t>Adobe Creative Cloud</t>
  </si>
  <si>
    <t>Manufacturer Diagnostic Licenses</t>
  </si>
  <si>
    <t>Rideline Custom Diagnostic App Development</t>
  </si>
  <si>
    <t>Microsoft Windows Server 2025</t>
  </si>
  <si>
    <t>Vendor</t>
  </si>
  <si>
    <t>Adobe</t>
  </si>
  <si>
    <t>Microsoft</t>
  </si>
  <si>
    <t>Bosch, Bafang, Shimano</t>
  </si>
  <si>
    <t>Third Party Contractor</t>
  </si>
  <si>
    <t>Zoho One</t>
  </si>
  <si>
    <t>Zoho</t>
  </si>
  <si>
    <t>Subscription / per user</t>
  </si>
  <si>
    <t>One-time License and User CAL</t>
  </si>
  <si>
    <t>One-time Development and Maintenance</t>
  </si>
  <si>
    <t>Annual License</t>
  </si>
  <si>
    <t>Subscription / per register</t>
  </si>
  <si>
    <t>1 server and 40 users</t>
  </si>
  <si>
    <t>Recurring / One-Time</t>
  </si>
  <si>
    <t>Recurring Annual</t>
  </si>
  <si>
    <t>Description</t>
  </si>
  <si>
    <t>Total</t>
  </si>
  <si>
    <t>$37/mo</t>
  </si>
  <si>
    <t>$84.99/mo</t>
  </si>
  <si>
    <t>$89/mo</t>
  </si>
  <si>
    <t>One-Time</t>
  </si>
  <si>
    <t>Includes CRM, WorkDrive, Books, Inventory, Analytics</t>
  </si>
  <si>
    <t xml:space="preserve">First-year maintenance included </t>
  </si>
  <si>
    <t>Estimated combined cost for all three brands</t>
  </si>
  <si>
    <t>For graphics, video, and media content</t>
  </si>
  <si>
    <t>POS for sales &amp; inventory tracking</t>
  </si>
  <si>
    <t>Supports Active Directory, file sharing, backup</t>
  </si>
  <si>
    <t>Total Recurring Annual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</si>
</sst>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4"/>
      <color theme="3"/>
      <name val="Aptos Narrow"/>
      <family val="2"/>
      <scheme val="minor"/>
    </font>
    <font>
      <b/>
      <u/>
      <sz val="12"/>
      <color theme="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ck">
        <color theme="4"/>
      </top>
      <bottom style="thick">
        <color theme="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8" fontId="0" fillId="0" borderId="0" xfId="0" applyNumberFormat="1" applyAlignment="1">
      <alignment horizontal="center"/>
    </xf>
    <xf numFmtId="6" fontId="0" fillId="0" borderId="0" xfId="0" applyNumberFormat="1" applyAlignment="1">
      <alignment horizontal="center"/>
    </xf>
    <xf numFmtId="44" fontId="0" fillId="0" borderId="0" xfId="2" applyFont="1" applyAlignment="1">
      <alignment horizontal="center"/>
    </xf>
    <xf numFmtId="44" fontId="0" fillId="0" borderId="0" xfId="0" applyNumberFormat="1" applyAlignment="1">
      <alignment horizontal="center"/>
    </xf>
    <xf numFmtId="8" fontId="0" fillId="0" borderId="0" xfId="1" applyNumberFormat="1" applyFont="1" applyAlignment="1">
      <alignment horizontal="center"/>
    </xf>
    <xf numFmtId="6" fontId="0" fillId="0" borderId="0" xfId="2" applyNumberFormat="1" applyFont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7" fillId="0" borderId="4" xfId="5" applyFont="1" applyBorder="1" applyAlignment="1">
      <alignment horizontal="center"/>
    </xf>
    <xf numFmtId="44" fontId="0" fillId="0" borderId="0" xfId="0" applyNumberFormat="1" applyAlignment="1">
      <alignment horizontal="center" wrapText="1"/>
    </xf>
    <xf numFmtId="8" fontId="0" fillId="0" borderId="0" xfId="0" applyNumberFormat="1" applyAlignment="1">
      <alignment horizontal="center" wrapText="1"/>
    </xf>
    <xf numFmtId="8" fontId="6" fillId="0" borderId="4" xfId="0" applyNumberFormat="1" applyFont="1" applyBorder="1" applyAlignment="1">
      <alignment horizontal="center"/>
    </xf>
    <xf numFmtId="0" fontId="8" fillId="0" borderId="4" xfId="5" applyFont="1" applyBorder="1" applyAlignment="1">
      <alignment horizontal="center"/>
    </xf>
    <xf numFmtId="0" fontId="5" fillId="0" borderId="3" xfId="6" applyAlignment="1">
      <alignment horizontal="center"/>
    </xf>
    <xf numFmtId="0" fontId="5" fillId="0" borderId="3" xfId="6" applyAlignment="1">
      <alignment horizontal="center" wrapText="1"/>
    </xf>
    <xf numFmtId="0" fontId="4" fillId="0" borderId="2" xfId="5" applyAlignment="1">
      <alignment horizontal="center"/>
    </xf>
    <xf numFmtId="0" fontId="2" fillId="0" borderId="0" xfId="3" applyAlignment="1">
      <alignment horizontal="center"/>
    </xf>
    <xf numFmtId="0" fontId="3" fillId="0" borderId="1" xfId="4" applyAlignment="1">
      <alignment horizontal="center"/>
    </xf>
    <xf numFmtId="0" fontId="5" fillId="0" borderId="0" xfId="7" applyAlignment="1">
      <alignment horizontal="center"/>
    </xf>
  </cellXfs>
  <cellStyles count="8">
    <cellStyle name="Comma" xfId="1" builtinId="3"/>
    <cellStyle name="Currency" xfId="2" builtinId="4"/>
    <cellStyle name="Heading 1" xfId="4" builtinId="16"/>
    <cellStyle name="Heading 2" xfId="5" builtinId="17"/>
    <cellStyle name="Heading 3" xfId="6" builtinId="18"/>
    <cellStyle name="Heading 4" xfId="7" builtinId="19"/>
    <cellStyle name="Normal" xfId="0" builtinId="0"/>
    <cellStyle name="Title" xfId="3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1A3C2-BA33-4B84-BDA5-BDA1B0131052}">
  <sheetPr>
    <pageSetUpPr fitToPage="1"/>
  </sheetPr>
  <dimension ref="A1:H21"/>
  <sheetViews>
    <sheetView tabSelected="1" zoomScale="83" zoomScaleNormal="83" workbookViewId="0">
      <selection activeCell="G16" sqref="G16"/>
    </sheetView>
  </sheetViews>
  <sheetFormatPr defaultRowHeight="14.4" x14ac:dyDescent="0.3"/>
  <cols>
    <col min="1" max="1" width="39.21875" style="1" bestFit="1" customWidth="1"/>
    <col min="2" max="2" width="21.44140625" style="1" bestFit="1" customWidth="1"/>
    <col min="3" max="3" width="35.21875" style="1" bestFit="1" customWidth="1"/>
    <col min="4" max="4" width="15.33203125" style="2" bestFit="1" customWidth="1"/>
    <col min="5" max="5" width="10.21875" style="1" bestFit="1" customWidth="1"/>
    <col min="6" max="6" width="13.77734375" style="1" bestFit="1" customWidth="1"/>
    <col min="7" max="8" width="19.109375" style="1" bestFit="1" customWidth="1"/>
  </cols>
  <sheetData>
    <row r="1" spans="1:8" ht="23.4" x14ac:dyDescent="0.45">
      <c r="A1" s="19" t="s">
        <v>4</v>
      </c>
      <c r="B1" s="19"/>
      <c r="C1" s="19"/>
      <c r="D1" s="19"/>
      <c r="E1" s="19"/>
      <c r="F1" s="19"/>
      <c r="G1" s="19"/>
      <c r="H1" s="19"/>
    </row>
    <row r="2" spans="1:8" x14ac:dyDescent="0.3">
      <c r="A2" s="21" t="s">
        <v>3</v>
      </c>
      <c r="B2" s="21"/>
      <c r="C2" s="21"/>
      <c r="D2" s="21"/>
      <c r="E2" s="21"/>
      <c r="F2" s="21"/>
      <c r="G2" s="21"/>
      <c r="H2" s="21"/>
    </row>
    <row r="3" spans="1:8" ht="20.399999999999999" thickBot="1" x14ac:dyDescent="0.45">
      <c r="A3" s="20" t="s">
        <v>5</v>
      </c>
      <c r="B3" s="20"/>
      <c r="C3" s="20"/>
      <c r="D3" s="20"/>
      <c r="E3" s="20"/>
      <c r="F3" s="20"/>
      <c r="G3" s="20"/>
      <c r="H3" s="20"/>
    </row>
    <row r="4" spans="1:8" ht="30.6" thickTop="1" thickBot="1" x14ac:dyDescent="0.4">
      <c r="A4" s="18" t="s">
        <v>6</v>
      </c>
      <c r="B4" s="16" t="s">
        <v>14</v>
      </c>
      <c r="C4" s="16" t="s">
        <v>7</v>
      </c>
      <c r="D4" s="17" t="s">
        <v>8</v>
      </c>
      <c r="E4" s="16" t="s">
        <v>0</v>
      </c>
      <c r="F4" s="16" t="s">
        <v>1</v>
      </c>
      <c r="G4" s="16" t="s">
        <v>27</v>
      </c>
      <c r="H4" s="16" t="s">
        <v>29</v>
      </c>
    </row>
    <row r="5" spans="1:8" ht="29.4" thickTop="1" x14ac:dyDescent="0.3">
      <c r="A5" s="1" t="s">
        <v>9</v>
      </c>
      <c r="B5" s="1" t="s">
        <v>2</v>
      </c>
      <c r="C5" s="1" t="s">
        <v>25</v>
      </c>
      <c r="D5" s="2">
        <v>2</v>
      </c>
      <c r="E5" s="3" t="s">
        <v>33</v>
      </c>
      <c r="F5" s="3">
        <v>1068</v>
      </c>
      <c r="G5" s="3" t="s">
        <v>28</v>
      </c>
      <c r="H5" s="13" t="s">
        <v>39</v>
      </c>
    </row>
    <row r="6" spans="1:8" ht="28.8" x14ac:dyDescent="0.3">
      <c r="A6" s="1" t="s">
        <v>10</v>
      </c>
      <c r="B6" s="1" t="s">
        <v>15</v>
      </c>
      <c r="C6" s="1" t="s">
        <v>21</v>
      </c>
      <c r="D6" s="2">
        <v>3</v>
      </c>
      <c r="E6" s="4" t="s">
        <v>32</v>
      </c>
      <c r="F6" s="4">
        <v>3059</v>
      </c>
      <c r="G6" s="4" t="s">
        <v>28</v>
      </c>
      <c r="H6" s="13" t="s">
        <v>38</v>
      </c>
    </row>
    <row r="7" spans="1:8" ht="43.2" x14ac:dyDescent="0.3">
      <c r="A7" s="1" t="s">
        <v>11</v>
      </c>
      <c r="B7" s="1" t="s">
        <v>17</v>
      </c>
      <c r="C7" s="1" t="s">
        <v>24</v>
      </c>
      <c r="D7" s="2">
        <v>3</v>
      </c>
      <c r="E7" s="8">
        <v>800</v>
      </c>
      <c r="F7" s="8">
        <v>800</v>
      </c>
      <c r="G7" s="5" t="s">
        <v>28</v>
      </c>
      <c r="H7" s="13" t="s">
        <v>37</v>
      </c>
    </row>
    <row r="8" spans="1:8" ht="28.8" x14ac:dyDescent="0.3">
      <c r="A8" s="1" t="s">
        <v>12</v>
      </c>
      <c r="B8" s="1" t="s">
        <v>18</v>
      </c>
      <c r="C8" s="1" t="s">
        <v>23</v>
      </c>
      <c r="D8" s="2">
        <v>1</v>
      </c>
      <c r="E8" s="8">
        <v>60000</v>
      </c>
      <c r="F8" s="8">
        <v>60000</v>
      </c>
      <c r="G8" s="8" t="s">
        <v>34</v>
      </c>
      <c r="H8" s="12" t="s">
        <v>36</v>
      </c>
    </row>
    <row r="9" spans="1:8" ht="43.2" x14ac:dyDescent="0.3">
      <c r="A9" s="1" t="s">
        <v>13</v>
      </c>
      <c r="B9" s="1" t="s">
        <v>16</v>
      </c>
      <c r="C9" s="1" t="s">
        <v>22</v>
      </c>
      <c r="D9" s="2" t="s">
        <v>26</v>
      </c>
      <c r="E9" s="8">
        <v>2772</v>
      </c>
      <c r="F9" s="8">
        <v>2772</v>
      </c>
      <c r="G9" s="5" t="s">
        <v>34</v>
      </c>
      <c r="H9" s="12" t="s">
        <v>40</v>
      </c>
    </row>
    <row r="10" spans="1:8" ht="43.8" thickBot="1" x14ac:dyDescent="0.35">
      <c r="A10" s="1" t="s">
        <v>19</v>
      </c>
      <c r="B10" s="1" t="s">
        <v>20</v>
      </c>
      <c r="C10" s="1" t="s">
        <v>21</v>
      </c>
      <c r="D10" s="2">
        <v>40</v>
      </c>
      <c r="E10" s="5" t="s">
        <v>31</v>
      </c>
      <c r="F10" s="8">
        <v>17760</v>
      </c>
      <c r="G10" s="1" t="s">
        <v>28</v>
      </c>
      <c r="H10" s="12" t="s">
        <v>35</v>
      </c>
    </row>
    <row r="11" spans="1:8" ht="19.2" thickTop="1" thickBot="1" x14ac:dyDescent="0.4">
      <c r="A11" s="11" t="s">
        <v>30</v>
      </c>
      <c r="B11" s="14">
        <f>F5+F6+F7+F8+F9+F10</f>
        <v>85459</v>
      </c>
      <c r="C11" s="9"/>
      <c r="D11" s="10"/>
      <c r="E11" s="9"/>
      <c r="F11" s="9"/>
      <c r="G11" s="9"/>
      <c r="H11" s="9"/>
    </row>
    <row r="12" spans="1:8" ht="16.8" thickTop="1" thickBot="1" x14ac:dyDescent="0.35">
      <c r="A12" s="15" t="s">
        <v>41</v>
      </c>
      <c r="B12" s="14">
        <f>F5+F6+F7+F10</f>
        <v>22687</v>
      </c>
      <c r="C12" s="9"/>
      <c r="D12" s="10"/>
      <c r="E12" s="9"/>
      <c r="F12" s="9"/>
      <c r="G12" s="9"/>
      <c r="H12" s="9"/>
    </row>
    <row r="13" spans="1:8" ht="15" thickTop="1" x14ac:dyDescent="0.3">
      <c r="E13" s="5"/>
      <c r="F13" s="5"/>
      <c r="G13" s="5"/>
      <c r="H13" s="6"/>
    </row>
    <row r="14" spans="1:8" x14ac:dyDescent="0.3">
      <c r="E14" s="5"/>
      <c r="F14" s="5"/>
      <c r="G14" s="5"/>
      <c r="H14" s="6"/>
    </row>
    <row r="15" spans="1:8" x14ac:dyDescent="0.3">
      <c r="E15" s="5"/>
      <c r="F15" s="5"/>
      <c r="G15" s="5"/>
      <c r="H15" s="6"/>
    </row>
    <row r="16" spans="1:8" x14ac:dyDescent="0.3">
      <c r="E16" s="5"/>
      <c r="F16" s="5"/>
      <c r="G16" s="5"/>
      <c r="H16" s="6"/>
    </row>
    <row r="17" spans="5:8" x14ac:dyDescent="0.3">
      <c r="E17" s="3"/>
      <c r="F17" s="3"/>
      <c r="G17" s="3"/>
      <c r="H17" s="6"/>
    </row>
    <row r="18" spans="5:8" x14ac:dyDescent="0.3">
      <c r="E18" s="5"/>
      <c r="F18" s="5"/>
      <c r="G18" s="5"/>
      <c r="H18" s="6"/>
    </row>
    <row r="19" spans="5:8" x14ac:dyDescent="0.3">
      <c r="E19" s="5"/>
      <c r="F19" s="5"/>
      <c r="G19" s="5"/>
      <c r="H19" s="6"/>
    </row>
    <row r="20" spans="5:8" x14ac:dyDescent="0.3">
      <c r="E20" s="5"/>
      <c r="F20" s="5"/>
      <c r="G20" s="5"/>
      <c r="H20" s="6"/>
    </row>
    <row r="21" spans="5:8" x14ac:dyDescent="0.3">
      <c r="E21" s="7"/>
      <c r="F21" s="7"/>
      <c r="G21" s="7"/>
      <c r="H21" s="5"/>
    </row>
  </sheetData>
  <mergeCells count="3">
    <mergeCell ref="A1:H1"/>
    <mergeCell ref="A3:H3"/>
    <mergeCell ref="A2:H2"/>
  </mergeCells>
  <pageMargins left="0.7" right="0.7" top="0.75" bottom="0.75" header="0.3" footer="0.3"/>
  <pageSetup scale="4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14A3FB1F6A1447BDFD6D623F3FB011" ma:contentTypeVersion="6" ma:contentTypeDescription="Create a new document." ma:contentTypeScope="" ma:versionID="7f6b8e066b6795c678e16a91ef8fb5bf">
  <xsd:schema xmlns:xsd="http://www.w3.org/2001/XMLSchema" xmlns:xs="http://www.w3.org/2001/XMLSchema" xmlns:p="http://schemas.microsoft.com/office/2006/metadata/properties" xmlns:ns3="f3ce4fc2-4ccf-4edd-85f4-5fd3834cec27" targetNamespace="http://schemas.microsoft.com/office/2006/metadata/properties" ma:root="true" ma:fieldsID="9d39e4dca0ac13dade3f373e69ea4530" ns3:_="">
    <xsd:import namespace="f3ce4fc2-4ccf-4edd-85f4-5fd3834cec2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ce4fc2-4ccf-4edd-85f4-5fd3834cec2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ce4fc2-4ccf-4edd-85f4-5fd3834cec27" xsi:nil="true"/>
  </documentManagement>
</p:properties>
</file>

<file path=customXml/itemProps1.xml><?xml version="1.0" encoding="utf-8"?>
<ds:datastoreItem xmlns:ds="http://schemas.openxmlformats.org/officeDocument/2006/customXml" ds:itemID="{09E63BD5-C102-4DE0-A46A-42D92D6360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ce4fc2-4ccf-4edd-85f4-5fd3834cec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2829852-3190-4564-BCDE-F1454183A25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70F715-65AA-4445-8069-70AB6D0A742A}">
  <ds:schemaRefs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infopath/2007/PartnerControls"/>
    <ds:schemaRef ds:uri="f3ce4fc2-4ccf-4edd-85f4-5fd3834cec27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Michael Padula</dc:creator>
  <cp:lastModifiedBy>James Michael Padula</cp:lastModifiedBy>
  <dcterms:created xsi:type="dcterms:W3CDTF">2026-02-10T15:12:45Z</dcterms:created>
  <dcterms:modified xsi:type="dcterms:W3CDTF">2026-05-04T18:56:37Z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0x0101009F14A3FB1F6A1447BDFD6D623F3FB011</vt:lpwstr>
  </property>
</Properties>
</file>